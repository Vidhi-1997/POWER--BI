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374\Desktop\Final Project Visulization - NY\"/>
    </mc:Choice>
  </mc:AlternateContent>
  <xr:revisionPtr revIDLastSave="0" documentId="13_ncr:1_{23B5B1EB-1DD1-4484-A61B-CD71E3464F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oples" sheetId="1" r:id="rId1"/>
    <sheet name="Hotel" sheetId="4" r:id="rId2"/>
    <sheet name="Property typ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4" l="1"/>
  <c r="J18" i="4"/>
  <c r="I3" i="4"/>
  <c r="I4" i="4"/>
  <c r="K4" i="4" s="1"/>
  <c r="I5" i="4"/>
  <c r="K5" i="4" s="1"/>
  <c r="I6" i="4"/>
  <c r="K6" i="4" s="1"/>
  <c r="I7" i="4"/>
  <c r="K7" i="4" s="1"/>
  <c r="I8" i="4"/>
  <c r="K8" i="4" s="1"/>
  <c r="I9" i="4"/>
  <c r="K9" i="4" s="1"/>
  <c r="I10" i="4"/>
  <c r="K10" i="4" s="1"/>
  <c r="I11" i="4"/>
  <c r="K11" i="4" s="1"/>
  <c r="I12" i="4"/>
  <c r="K12" i="4" s="1"/>
  <c r="I13" i="4"/>
  <c r="K13" i="4" s="1"/>
  <c r="I14" i="4"/>
  <c r="I15" i="4"/>
  <c r="K15" i="4" s="1"/>
  <c r="I16" i="4"/>
  <c r="I17" i="4"/>
  <c r="I18" i="4"/>
  <c r="I19" i="4"/>
  <c r="I20" i="4"/>
  <c r="K20" i="4" s="1"/>
  <c r="I21" i="4"/>
  <c r="K21" i="4" s="1"/>
  <c r="I22" i="4"/>
  <c r="K22" i="4" s="1"/>
  <c r="I23" i="4"/>
  <c r="K23" i="4" s="1"/>
  <c r="I2" i="4"/>
  <c r="G4" i="4"/>
  <c r="G6" i="4"/>
  <c r="G9" i="4"/>
  <c r="G13" i="4"/>
  <c r="G15" i="4"/>
  <c r="G20" i="4"/>
  <c r="G22" i="4"/>
  <c r="F3" i="4"/>
  <c r="G3" i="4" s="1"/>
  <c r="F4" i="4"/>
  <c r="J4" i="4" s="1"/>
  <c r="F5" i="4"/>
  <c r="G5" i="4" s="1"/>
  <c r="F6" i="4"/>
  <c r="J6" i="4" s="1"/>
  <c r="F7" i="4"/>
  <c r="G7" i="4" s="1"/>
  <c r="F8" i="4"/>
  <c r="G8" i="4" s="1"/>
  <c r="F9" i="4"/>
  <c r="F10" i="4"/>
  <c r="G10" i="4" s="1"/>
  <c r="F11" i="4"/>
  <c r="G11" i="4" s="1"/>
  <c r="F12" i="4"/>
  <c r="G12" i="4" s="1"/>
  <c r="F13" i="4"/>
  <c r="J13" i="4" s="1"/>
  <c r="F14" i="4"/>
  <c r="J14" i="4" s="1"/>
  <c r="F15" i="4"/>
  <c r="J15" i="4" s="1"/>
  <c r="F16" i="4"/>
  <c r="J16" i="4" s="1"/>
  <c r="F17" i="4"/>
  <c r="G17" i="4" s="1"/>
  <c r="F18" i="4"/>
  <c r="G18" i="4" s="1"/>
  <c r="F19" i="4"/>
  <c r="G19" i="4" s="1"/>
  <c r="F20" i="4"/>
  <c r="J20" i="4" s="1"/>
  <c r="F21" i="4"/>
  <c r="G21" i="4" s="1"/>
  <c r="F22" i="4"/>
  <c r="J22" i="4" s="1"/>
  <c r="F23" i="4"/>
  <c r="G23" i="4" s="1"/>
  <c r="F2" i="4"/>
  <c r="G2" i="4" s="1"/>
  <c r="K2" i="4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H3" i="1"/>
  <c r="H7" i="1"/>
  <c r="H13" i="1"/>
  <c r="H16" i="1"/>
  <c r="H19" i="1"/>
  <c r="H23" i="1"/>
  <c r="J2" i="1"/>
  <c r="I2" i="1"/>
  <c r="D3" i="1"/>
  <c r="D4" i="1"/>
  <c r="H4" i="1" s="1"/>
  <c r="D5" i="1"/>
  <c r="H5" i="1" s="1"/>
  <c r="D6" i="1"/>
  <c r="H6" i="1" s="1"/>
  <c r="D7" i="1"/>
  <c r="D8" i="1"/>
  <c r="H8" i="1" s="1"/>
  <c r="D9" i="1"/>
  <c r="H9" i="1" s="1"/>
  <c r="D10" i="1"/>
  <c r="H10" i="1" s="1"/>
  <c r="D11" i="1"/>
  <c r="H11" i="1" s="1"/>
  <c r="D12" i="1"/>
  <c r="H12" i="1" s="1"/>
  <c r="D13" i="1"/>
  <c r="D14" i="1"/>
  <c r="H14" i="1" s="1"/>
  <c r="D15" i="1"/>
  <c r="H15" i="1" s="1"/>
  <c r="D16" i="1"/>
  <c r="D17" i="1"/>
  <c r="H17" i="1" s="1"/>
  <c r="D18" i="1"/>
  <c r="H18" i="1" s="1"/>
  <c r="D19" i="1"/>
  <c r="D20" i="1"/>
  <c r="H20" i="1" s="1"/>
  <c r="D21" i="1"/>
  <c r="H21" i="1" s="1"/>
  <c r="D22" i="1"/>
  <c r="H22" i="1" s="1"/>
  <c r="D23" i="1"/>
  <c r="D2" i="1"/>
  <c r="H2" i="1" s="1"/>
  <c r="K19" i="4" l="1"/>
  <c r="K3" i="4"/>
  <c r="K18" i="4"/>
  <c r="K17" i="4"/>
  <c r="G16" i="4"/>
  <c r="K16" i="4" s="1"/>
  <c r="J12" i="4"/>
  <c r="J11" i="4"/>
  <c r="G14" i="4"/>
  <c r="K14" i="4" s="1"/>
  <c r="J10" i="4"/>
  <c r="J2" i="4"/>
  <c r="J8" i="4"/>
  <c r="J23" i="4"/>
  <c r="J7" i="4"/>
  <c r="J21" i="4"/>
  <c r="J5" i="4"/>
  <c r="J19" i="4"/>
  <c r="J3" i="4"/>
  <c r="J17" i="4"/>
</calcChain>
</file>

<file path=xl/sharedStrings.xml><?xml version="1.0" encoding="utf-8"?>
<sst xmlns="http://schemas.openxmlformats.org/spreadsheetml/2006/main" count="34" uniqueCount="29">
  <si>
    <t>Year</t>
  </si>
  <si>
    <t>Number of Days</t>
  </si>
  <si>
    <t>Cost per Gallon</t>
  </si>
  <si>
    <t>Yearly Cost</t>
  </si>
  <si>
    <t xml:space="preserve">Per Day Cost </t>
  </si>
  <si>
    <t>Total Consumption in a day (Galllon)</t>
  </si>
  <si>
    <t>Total Consumption in a Year</t>
  </si>
  <si>
    <t>Total Population</t>
  </si>
  <si>
    <t>Single Person Consumption in a day</t>
  </si>
  <si>
    <t>Cost per single person</t>
  </si>
  <si>
    <t>Bank/Financial Institution</t>
  </si>
  <si>
    <t>Commercial/Industrial</t>
  </si>
  <si>
    <t>Education</t>
  </si>
  <si>
    <t>Entertainment</t>
  </si>
  <si>
    <t>Healthcare</t>
  </si>
  <si>
    <t>Hospitality</t>
  </si>
  <si>
    <t>Multifamily Housing</t>
  </si>
  <si>
    <t>Other Residential</t>
  </si>
  <si>
    <t>Others</t>
  </si>
  <si>
    <t>Public Services</t>
  </si>
  <si>
    <t>Retail</t>
  </si>
  <si>
    <t>School/Colleges</t>
  </si>
  <si>
    <t>Number of Hotel</t>
  </si>
  <si>
    <t>Total Number of Rooms</t>
  </si>
  <si>
    <t>Per Room Consumption in a day</t>
  </si>
  <si>
    <t>Cost for 1 room  a day</t>
  </si>
  <si>
    <t>Total Consumption in a day (all hotel)</t>
  </si>
  <si>
    <t>Total Cost for 1 day - all hotels</t>
  </si>
  <si>
    <t>Total Cost for Year - all hotels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</si>
</sst>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/>
  </sheetViews>
  <sheetFormatPr defaultRowHeight="14.5" x14ac:dyDescent="0.35"/>
  <cols>
    <col min="1" max="2" width="16.36328125" style="1" customWidth="1"/>
    <col min="3" max="3" width="22" style="1" bestFit="1" customWidth="1"/>
    <col min="4" max="4" width="33.453125" style="1" bestFit="1" customWidth="1"/>
    <col min="5" max="5" width="32.36328125" style="1" customWidth="1"/>
    <col min="6" max="6" width="19.26953125" style="1" bestFit="1" customWidth="1"/>
    <col min="7" max="7" width="15.36328125" style="1" customWidth="1"/>
    <col min="8" max="8" width="17.1796875" style="1" bestFit="1" customWidth="1"/>
    <col min="9" max="9" width="13.6328125" style="1" bestFit="1" customWidth="1"/>
    <col min="10" max="10" width="19.36328125" style="1" bestFit="1" customWidth="1"/>
    <col min="11" max="16384" width="8.7265625" style="1"/>
  </cols>
  <sheetData>
    <row r="1" spans="1:10" x14ac:dyDescent="0.35">
      <c r="A1" s="1" t="s">
        <v>0</v>
      </c>
      <c r="B1" s="1" t="s">
        <v>1</v>
      </c>
      <c r="C1" s="1" t="s">
        <v>7</v>
      </c>
      <c r="D1" s="1" t="s">
        <v>6</v>
      </c>
      <c r="E1" s="1" t="s">
        <v>5</v>
      </c>
      <c r="F1" s="1" t="s">
        <v>8</v>
      </c>
      <c r="G1" s="1" t="s">
        <v>2</v>
      </c>
      <c r="H1" s="1" t="s">
        <v>3</v>
      </c>
      <c r="I1" s="1" t="s">
        <v>4</v>
      </c>
      <c r="J1" s="1" t="s">
        <v>9</v>
      </c>
    </row>
    <row r="2" spans="1:10" x14ac:dyDescent="0.35">
      <c r="A2" s="1">
        <v>2000</v>
      </c>
      <c r="B2" s="1">
        <v>366</v>
      </c>
      <c r="C2" s="1">
        <v>8008278</v>
      </c>
      <c r="D2" s="3">
        <f t="shared" ref="D2:D23" si="0">F2*C2*B2</f>
        <v>454309610940</v>
      </c>
      <c r="E2" s="2">
        <v>1240400000</v>
      </c>
      <c r="F2" s="1">
        <v>155</v>
      </c>
      <c r="G2" s="4">
        <v>4.4000000000000003E-3</v>
      </c>
      <c r="H2" s="5">
        <f>G2*D2</f>
        <v>1998962288.1360002</v>
      </c>
      <c r="I2" s="5">
        <f>G2*E2</f>
        <v>5457760</v>
      </c>
      <c r="J2" s="5">
        <f>G2*F2</f>
        <v>0.68200000000000005</v>
      </c>
    </row>
    <row r="3" spans="1:10" x14ac:dyDescent="0.35">
      <c r="A3" s="1">
        <v>2001</v>
      </c>
      <c r="B3" s="1">
        <v>365</v>
      </c>
      <c r="C3" s="1">
        <v>8024963.5</v>
      </c>
      <c r="D3" s="3">
        <f t="shared" si="0"/>
        <v>433508528270</v>
      </c>
      <c r="E3" s="2">
        <v>1184000000</v>
      </c>
      <c r="F3" s="1">
        <v>148</v>
      </c>
      <c r="G3" s="4">
        <v>4.4000000000000003E-3</v>
      </c>
      <c r="H3" s="5">
        <f t="shared" ref="H3:H23" si="1">G3*D3</f>
        <v>1907437524.388</v>
      </c>
      <c r="I3" s="5">
        <f t="shared" ref="I3:I23" si="2">G3*E3</f>
        <v>5209600</v>
      </c>
      <c r="J3" s="5">
        <f t="shared" ref="J3:J23" si="3">G3*F3</f>
        <v>0.6512</v>
      </c>
    </row>
    <row r="4" spans="1:10" x14ac:dyDescent="0.35">
      <c r="A4" s="1">
        <v>2002</v>
      </c>
      <c r="B4" s="1">
        <v>365</v>
      </c>
      <c r="C4" s="1">
        <v>8041649</v>
      </c>
      <c r="D4" s="3">
        <f t="shared" si="0"/>
        <v>413863465785</v>
      </c>
      <c r="E4" s="2">
        <v>1135600000</v>
      </c>
      <c r="F4" s="1">
        <v>141</v>
      </c>
      <c r="G4" s="4">
        <v>4.4000000000000003E-3</v>
      </c>
      <c r="H4" s="5">
        <f t="shared" si="1"/>
        <v>1820999249.454</v>
      </c>
      <c r="I4" s="5">
        <f t="shared" si="2"/>
        <v>4996640</v>
      </c>
      <c r="J4" s="5">
        <f t="shared" si="3"/>
        <v>0.62040000000000006</v>
      </c>
    </row>
    <row r="5" spans="1:10" x14ac:dyDescent="0.35">
      <c r="A5" s="1">
        <v>2003</v>
      </c>
      <c r="B5" s="1">
        <v>365</v>
      </c>
      <c r="C5" s="1">
        <v>8058334.5</v>
      </c>
      <c r="D5" s="3">
        <f t="shared" si="0"/>
        <v>400015724580</v>
      </c>
      <c r="E5" s="2">
        <v>1093700000</v>
      </c>
      <c r="F5" s="1">
        <v>136</v>
      </c>
      <c r="G5" s="4">
        <v>5.4999999999999997E-3</v>
      </c>
      <c r="H5" s="5">
        <f t="shared" si="1"/>
        <v>2200086485.1900001</v>
      </c>
      <c r="I5" s="5">
        <f t="shared" si="2"/>
        <v>6015350</v>
      </c>
      <c r="J5" s="5">
        <f t="shared" si="3"/>
        <v>0.748</v>
      </c>
    </row>
    <row r="6" spans="1:10" x14ac:dyDescent="0.35">
      <c r="A6" s="1">
        <v>2004</v>
      </c>
      <c r="B6" s="1">
        <v>366</v>
      </c>
      <c r="C6" s="1">
        <v>8075020</v>
      </c>
      <c r="D6" s="3">
        <f t="shared" si="0"/>
        <v>401942195520</v>
      </c>
      <c r="E6" s="2">
        <v>1099500000</v>
      </c>
      <c r="F6" s="1">
        <v>136</v>
      </c>
      <c r="G6" s="4">
        <v>5.4999999999999997E-3</v>
      </c>
      <c r="H6" s="5">
        <f t="shared" si="1"/>
        <v>2210682075.3599997</v>
      </c>
      <c r="I6" s="5">
        <f t="shared" si="2"/>
        <v>6047250</v>
      </c>
      <c r="J6" s="5">
        <f t="shared" si="3"/>
        <v>0.748</v>
      </c>
    </row>
    <row r="7" spans="1:10" x14ac:dyDescent="0.35">
      <c r="A7" s="1">
        <v>2005</v>
      </c>
      <c r="B7" s="1">
        <v>365</v>
      </c>
      <c r="C7" s="1">
        <v>8091705.5</v>
      </c>
      <c r="D7" s="3">
        <f t="shared" si="0"/>
        <v>416439623557.5</v>
      </c>
      <c r="E7" s="2">
        <v>1138000000</v>
      </c>
      <c r="F7" s="1">
        <v>141</v>
      </c>
      <c r="G7" s="4">
        <v>5.4999999999999997E-3</v>
      </c>
      <c r="H7" s="5">
        <f t="shared" si="1"/>
        <v>2290417929.5662498</v>
      </c>
      <c r="I7" s="5">
        <f t="shared" si="2"/>
        <v>6259000</v>
      </c>
      <c r="J7" s="5">
        <f t="shared" si="3"/>
        <v>0.77549999999999997</v>
      </c>
    </row>
    <row r="8" spans="1:10" x14ac:dyDescent="0.35">
      <c r="A8" s="1">
        <v>2006</v>
      </c>
      <c r="B8" s="1">
        <v>365</v>
      </c>
      <c r="C8" s="1">
        <v>8108391</v>
      </c>
      <c r="D8" s="3">
        <f t="shared" si="0"/>
        <v>390662278380</v>
      </c>
      <c r="E8" s="2">
        <v>1069000000</v>
      </c>
      <c r="F8" s="1">
        <v>132</v>
      </c>
      <c r="G8" s="4">
        <v>6.1000000000000004E-3</v>
      </c>
      <c r="H8" s="5">
        <f t="shared" si="1"/>
        <v>2383039898.118</v>
      </c>
      <c r="I8" s="5">
        <f t="shared" si="2"/>
        <v>6520900</v>
      </c>
      <c r="J8" s="5">
        <f t="shared" si="3"/>
        <v>0.80520000000000003</v>
      </c>
    </row>
    <row r="9" spans="1:10" x14ac:dyDescent="0.35">
      <c r="A9" s="1">
        <v>2007</v>
      </c>
      <c r="B9" s="1">
        <v>365</v>
      </c>
      <c r="C9" s="1">
        <v>8125076.5</v>
      </c>
      <c r="D9" s="3">
        <f t="shared" si="0"/>
        <v>406294450382.5</v>
      </c>
      <c r="E9" s="2">
        <v>1114000000</v>
      </c>
      <c r="F9" s="1">
        <v>137</v>
      </c>
      <c r="G9" s="4">
        <v>6.1000000000000004E-3</v>
      </c>
      <c r="H9" s="5">
        <f t="shared" si="1"/>
        <v>2478396147.33325</v>
      </c>
      <c r="I9" s="5">
        <f t="shared" si="2"/>
        <v>6795400</v>
      </c>
      <c r="J9" s="5">
        <f t="shared" si="3"/>
        <v>0.8357</v>
      </c>
    </row>
    <row r="10" spans="1:10" x14ac:dyDescent="0.35">
      <c r="A10" s="1">
        <v>2008</v>
      </c>
      <c r="B10" s="1">
        <v>366</v>
      </c>
      <c r="C10" s="1">
        <v>8141762</v>
      </c>
      <c r="D10" s="3">
        <f t="shared" si="0"/>
        <v>402284460420</v>
      </c>
      <c r="E10" s="2">
        <v>1098000000</v>
      </c>
      <c r="F10" s="1">
        <v>135</v>
      </c>
      <c r="G10" s="4">
        <v>6.1000000000000004E-3</v>
      </c>
      <c r="H10" s="5">
        <f t="shared" si="1"/>
        <v>2453935208.5620003</v>
      </c>
      <c r="I10" s="5">
        <f t="shared" si="2"/>
        <v>6697800</v>
      </c>
      <c r="J10" s="5">
        <f t="shared" si="3"/>
        <v>0.82350000000000001</v>
      </c>
    </row>
    <row r="11" spans="1:10" x14ac:dyDescent="0.35">
      <c r="A11" s="1">
        <v>2009</v>
      </c>
      <c r="B11" s="1">
        <v>365</v>
      </c>
      <c r="C11" s="1">
        <v>8158447.5</v>
      </c>
      <c r="D11" s="3">
        <f t="shared" si="0"/>
        <v>366273500512.5</v>
      </c>
      <c r="E11" s="2">
        <v>1007500000</v>
      </c>
      <c r="F11" s="1">
        <v>123</v>
      </c>
      <c r="G11" s="4">
        <v>7.3000000000000001E-3</v>
      </c>
      <c r="H11" s="5">
        <f t="shared" si="1"/>
        <v>2673796553.74125</v>
      </c>
      <c r="I11" s="5">
        <f t="shared" si="2"/>
        <v>7354750</v>
      </c>
      <c r="J11" s="5">
        <f t="shared" si="3"/>
        <v>0.89790000000000003</v>
      </c>
    </row>
    <row r="12" spans="1:10" x14ac:dyDescent="0.35">
      <c r="A12" s="1">
        <v>2010</v>
      </c>
      <c r="B12" s="1">
        <v>365</v>
      </c>
      <c r="C12" s="1">
        <v>8175133</v>
      </c>
      <c r="D12" s="3">
        <f t="shared" si="0"/>
        <v>378958290215</v>
      </c>
      <c r="E12" s="2">
        <v>1039000000</v>
      </c>
      <c r="F12" s="1">
        <v>127</v>
      </c>
      <c r="G12" s="4">
        <v>7.3000000000000001E-3</v>
      </c>
      <c r="H12" s="5">
        <f t="shared" si="1"/>
        <v>2766395518.5695</v>
      </c>
      <c r="I12" s="5">
        <f t="shared" si="2"/>
        <v>7584700</v>
      </c>
      <c r="J12" s="5">
        <f t="shared" si="3"/>
        <v>0.92710000000000004</v>
      </c>
    </row>
    <row r="13" spans="1:10" x14ac:dyDescent="0.35">
      <c r="A13" s="1">
        <v>2011</v>
      </c>
      <c r="B13" s="1">
        <v>365</v>
      </c>
      <c r="C13" s="1">
        <v>8337995</v>
      </c>
      <c r="D13" s="3">
        <f t="shared" si="0"/>
        <v>371290917350</v>
      </c>
      <c r="E13" s="2">
        <v>1021000000</v>
      </c>
      <c r="F13" s="1">
        <v>122</v>
      </c>
      <c r="G13" s="4">
        <v>7.3000000000000001E-3</v>
      </c>
      <c r="H13" s="5">
        <f t="shared" si="1"/>
        <v>2710423696.6550002</v>
      </c>
      <c r="I13" s="5">
        <f t="shared" si="2"/>
        <v>7453300</v>
      </c>
      <c r="J13" s="5">
        <f t="shared" si="3"/>
        <v>0.89060000000000006</v>
      </c>
    </row>
    <row r="14" spans="1:10" x14ac:dyDescent="0.35">
      <c r="A14" s="1">
        <v>2012</v>
      </c>
      <c r="B14" s="1">
        <v>366</v>
      </c>
      <c r="C14" s="1">
        <v>8463949</v>
      </c>
      <c r="D14" s="3">
        <f t="shared" si="0"/>
        <v>368638834746</v>
      </c>
      <c r="E14" s="2">
        <v>1009140000</v>
      </c>
      <c r="F14" s="1">
        <v>119</v>
      </c>
      <c r="G14" s="4">
        <v>8.0999999999999996E-3</v>
      </c>
      <c r="H14" s="5">
        <f t="shared" si="1"/>
        <v>2985974561.4425998</v>
      </c>
      <c r="I14" s="5">
        <f t="shared" si="2"/>
        <v>8174034</v>
      </c>
      <c r="J14" s="5">
        <f t="shared" si="3"/>
        <v>0.96389999999999998</v>
      </c>
    </row>
    <row r="15" spans="1:10" x14ac:dyDescent="0.35">
      <c r="A15" s="1">
        <v>2013</v>
      </c>
      <c r="B15" s="1">
        <v>365</v>
      </c>
      <c r="C15" s="1">
        <v>8565546</v>
      </c>
      <c r="D15" s="3">
        <f t="shared" si="0"/>
        <v>365791641930</v>
      </c>
      <c r="E15" s="2">
        <v>1006100000</v>
      </c>
      <c r="F15" s="1">
        <v>117</v>
      </c>
      <c r="G15" s="4">
        <v>8.0999999999999996E-3</v>
      </c>
      <c r="H15" s="5">
        <f t="shared" si="1"/>
        <v>2962912299.6329999</v>
      </c>
      <c r="I15" s="5">
        <f t="shared" si="2"/>
        <v>8149410</v>
      </c>
      <c r="J15" s="5">
        <f t="shared" si="3"/>
        <v>0.94769999999999999</v>
      </c>
    </row>
    <row r="16" spans="1:10" x14ac:dyDescent="0.35">
      <c r="A16" s="1">
        <v>2014</v>
      </c>
      <c r="B16" s="1">
        <v>365</v>
      </c>
      <c r="C16" s="1">
        <v>8655309</v>
      </c>
      <c r="D16" s="3">
        <f t="shared" si="0"/>
        <v>363306595275</v>
      </c>
      <c r="E16" s="2">
        <v>996000000</v>
      </c>
      <c r="F16" s="1">
        <v>115</v>
      </c>
      <c r="G16" s="4">
        <v>8.0999999999999996E-3</v>
      </c>
      <c r="H16" s="5">
        <f t="shared" si="1"/>
        <v>2942783421.7275</v>
      </c>
      <c r="I16" s="5">
        <f t="shared" si="2"/>
        <v>8067600</v>
      </c>
      <c r="J16" s="5">
        <f t="shared" si="3"/>
        <v>0.93149999999999999</v>
      </c>
    </row>
    <row r="17" spans="1:10" x14ac:dyDescent="0.35">
      <c r="A17" s="1">
        <v>2015</v>
      </c>
      <c r="B17" s="1">
        <v>365</v>
      </c>
      <c r="C17" s="1">
        <v>8736703</v>
      </c>
      <c r="D17" s="3">
        <f t="shared" si="0"/>
        <v>366723108425</v>
      </c>
      <c r="E17" s="2">
        <v>1009000000</v>
      </c>
      <c r="F17" s="1">
        <v>115</v>
      </c>
      <c r="G17" s="4">
        <v>8.8000000000000005E-3</v>
      </c>
      <c r="H17" s="5">
        <f t="shared" si="1"/>
        <v>3227163354.1400003</v>
      </c>
      <c r="I17" s="5">
        <f t="shared" si="2"/>
        <v>8879200</v>
      </c>
      <c r="J17" s="5">
        <f t="shared" si="3"/>
        <v>1.012</v>
      </c>
    </row>
    <row r="18" spans="1:10" x14ac:dyDescent="0.35">
      <c r="A18" s="1">
        <v>2016</v>
      </c>
      <c r="B18" s="1">
        <v>366</v>
      </c>
      <c r="C18" s="1">
        <v>8794605</v>
      </c>
      <c r="D18" s="3">
        <f t="shared" si="0"/>
        <v>366946099020</v>
      </c>
      <c r="E18" s="2">
        <v>1002000000</v>
      </c>
      <c r="F18" s="1">
        <v>114</v>
      </c>
      <c r="G18" s="4">
        <v>8.8000000000000005E-3</v>
      </c>
      <c r="H18" s="5">
        <f t="shared" si="1"/>
        <v>3229125671.3760004</v>
      </c>
      <c r="I18" s="5">
        <f t="shared" si="2"/>
        <v>8817600</v>
      </c>
      <c r="J18" s="5">
        <f t="shared" si="3"/>
        <v>1.0032000000000001</v>
      </c>
    </row>
    <row r="19" spans="1:10" x14ac:dyDescent="0.35">
      <c r="A19" s="1">
        <v>2017</v>
      </c>
      <c r="B19" s="1">
        <v>365</v>
      </c>
      <c r="C19" s="1">
        <v>8815448</v>
      </c>
      <c r="D19" s="3">
        <f t="shared" si="0"/>
        <v>360375514240</v>
      </c>
      <c r="E19" s="2">
        <v>990200000</v>
      </c>
      <c r="F19" s="1">
        <v>112</v>
      </c>
      <c r="G19" s="4">
        <v>8.8000000000000005E-3</v>
      </c>
      <c r="H19" s="5">
        <f t="shared" si="1"/>
        <v>3171304525.3120003</v>
      </c>
      <c r="I19" s="5">
        <f t="shared" si="2"/>
        <v>8713760</v>
      </c>
      <c r="J19" s="5">
        <f t="shared" si="3"/>
        <v>0.98560000000000003</v>
      </c>
    </row>
    <row r="20" spans="1:10" x14ac:dyDescent="0.35">
      <c r="A20" s="1">
        <v>2018</v>
      </c>
      <c r="B20" s="1">
        <v>365</v>
      </c>
      <c r="C20" s="1">
        <v>8826472</v>
      </c>
      <c r="D20" s="3">
        <f t="shared" si="0"/>
        <v>367269499920</v>
      </c>
      <c r="E20" s="2">
        <v>1008000000</v>
      </c>
      <c r="F20" s="1">
        <v>114</v>
      </c>
      <c r="G20" s="4">
        <v>9.7000000000000003E-3</v>
      </c>
      <c r="H20" s="5">
        <f t="shared" si="1"/>
        <v>3562514149.224</v>
      </c>
      <c r="I20" s="5">
        <f t="shared" si="2"/>
        <v>9777600</v>
      </c>
      <c r="J20" s="5">
        <f t="shared" si="3"/>
        <v>1.1058000000000001</v>
      </c>
    </row>
    <row r="21" spans="1:10" x14ac:dyDescent="0.35">
      <c r="A21" s="1">
        <v>2019</v>
      </c>
      <c r="B21" s="1">
        <v>365</v>
      </c>
      <c r="C21" s="1">
        <v>8824887</v>
      </c>
      <c r="D21" s="3">
        <f t="shared" si="0"/>
        <v>360761380560</v>
      </c>
      <c r="E21" s="2">
        <v>987400000</v>
      </c>
      <c r="F21" s="1">
        <v>112</v>
      </c>
      <c r="G21" s="4">
        <v>9.7000000000000003E-3</v>
      </c>
      <c r="H21" s="5">
        <f t="shared" si="1"/>
        <v>3499385391.4320002</v>
      </c>
      <c r="I21" s="5">
        <f t="shared" si="2"/>
        <v>9577780</v>
      </c>
      <c r="J21" s="5">
        <f t="shared" si="3"/>
        <v>1.0864</v>
      </c>
    </row>
    <row r="22" spans="1:10" x14ac:dyDescent="0.35">
      <c r="A22" s="1">
        <v>2020</v>
      </c>
      <c r="B22" s="1">
        <v>366</v>
      </c>
      <c r="C22" s="1">
        <v>8804190</v>
      </c>
      <c r="D22" s="3">
        <f t="shared" si="0"/>
        <v>357679022940</v>
      </c>
      <c r="E22" s="2">
        <v>981000000</v>
      </c>
      <c r="F22" s="1">
        <v>111</v>
      </c>
      <c r="G22" s="4">
        <v>9.7000000000000003E-3</v>
      </c>
      <c r="H22" s="5">
        <f t="shared" si="1"/>
        <v>3469486522.5180001</v>
      </c>
      <c r="I22" s="5">
        <f t="shared" si="2"/>
        <v>9515700</v>
      </c>
      <c r="J22" s="5">
        <f t="shared" si="3"/>
        <v>1.0767</v>
      </c>
    </row>
    <row r="23" spans="1:10" x14ac:dyDescent="0.35">
      <c r="A23" s="1">
        <v>2021</v>
      </c>
      <c r="B23" s="1">
        <v>365</v>
      </c>
      <c r="C23" s="1">
        <v>8467513</v>
      </c>
      <c r="D23" s="3">
        <f t="shared" si="0"/>
        <v>358514500420</v>
      </c>
      <c r="E23" s="2">
        <v>979000000</v>
      </c>
      <c r="F23" s="1">
        <v>116</v>
      </c>
      <c r="G23" s="4">
        <v>9.7000000000000003E-3</v>
      </c>
      <c r="H23" s="5">
        <f t="shared" si="1"/>
        <v>3477590654.0739999</v>
      </c>
      <c r="I23" s="5">
        <f t="shared" si="2"/>
        <v>9496300</v>
      </c>
      <c r="J23" s="5">
        <f t="shared" si="3"/>
        <v>1.1252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selection activeCell="K2" sqref="K2"/>
    </sheetView>
  </sheetViews>
  <sheetFormatPr defaultColWidth="12.1796875" defaultRowHeight="14.5" x14ac:dyDescent="0.35"/>
  <cols>
    <col min="1" max="1" width="9.90625" style="1" customWidth="1"/>
    <col min="2" max="2" width="14.36328125" style="1" bestFit="1" customWidth="1"/>
    <col min="3" max="3" width="14.81640625" style="1" bestFit="1" customWidth="1"/>
    <col min="4" max="4" width="20.81640625" style="1" bestFit="1" customWidth="1"/>
    <col min="5" max="5" width="27.81640625" style="1" bestFit="1" customWidth="1"/>
    <col min="6" max="6" width="15.26953125" style="1" customWidth="1"/>
    <col min="7" max="8" width="12.1796875" style="1"/>
    <col min="9" max="9" width="19.36328125" style="1" bestFit="1" customWidth="1"/>
    <col min="10" max="10" width="17.08984375" style="1" bestFit="1" customWidth="1"/>
    <col min="11" max="11" width="25.54296875" style="1" bestFit="1" customWidth="1"/>
    <col min="12" max="16384" width="12.1796875" style="1"/>
  </cols>
  <sheetData>
    <row r="1" spans="1:11" x14ac:dyDescent="0.3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26</v>
      </c>
      <c r="G1" s="1" t="s">
        <v>6</v>
      </c>
      <c r="H1" s="1" t="s">
        <v>2</v>
      </c>
      <c r="I1" s="1" t="s">
        <v>25</v>
      </c>
      <c r="J1" s="1" t="s">
        <v>27</v>
      </c>
      <c r="K1" s="1" t="s">
        <v>28</v>
      </c>
    </row>
    <row r="2" spans="1:11" x14ac:dyDescent="0.35">
      <c r="A2" s="1">
        <v>2000</v>
      </c>
      <c r="B2" s="1">
        <v>366</v>
      </c>
      <c r="C2" s="1">
        <v>420</v>
      </c>
      <c r="D2" s="2">
        <v>54099</v>
      </c>
      <c r="E2" s="1">
        <v>283</v>
      </c>
      <c r="F2" s="1">
        <f>E2*D2</f>
        <v>15310017</v>
      </c>
      <c r="G2" s="1">
        <f>F2*B2</f>
        <v>5603466222</v>
      </c>
      <c r="H2" s="4">
        <v>4.4000000000000003E-3</v>
      </c>
      <c r="I2" s="5">
        <f>H2*E2</f>
        <v>1.2452000000000001</v>
      </c>
      <c r="J2" s="5">
        <f>H2*F2</f>
        <v>67364.074800000002</v>
      </c>
      <c r="K2" s="5">
        <f>I2*G2</f>
        <v>6977436139.6344004</v>
      </c>
    </row>
    <row r="3" spans="1:11" x14ac:dyDescent="0.35">
      <c r="A3" s="1">
        <v>2001</v>
      </c>
      <c r="B3" s="1">
        <v>365</v>
      </c>
      <c r="C3" s="1">
        <v>426</v>
      </c>
      <c r="D3" s="2">
        <v>57825</v>
      </c>
      <c r="E3" s="1">
        <v>238</v>
      </c>
      <c r="F3" s="1">
        <f t="shared" ref="F3:F23" si="0">E3*D3</f>
        <v>13762350</v>
      </c>
      <c r="G3" s="1">
        <f t="shared" ref="G3:G23" si="1">F3*B3</f>
        <v>5023257750</v>
      </c>
      <c r="H3" s="4">
        <v>4.4000000000000003E-3</v>
      </c>
      <c r="I3" s="5">
        <f t="shared" ref="I3:I23" si="2">H3*E3</f>
        <v>1.0472000000000001</v>
      </c>
      <c r="J3" s="5">
        <f t="shared" ref="J3:J23" si="3">H3*F3</f>
        <v>60554.340000000004</v>
      </c>
      <c r="K3" s="5">
        <f t="shared" ref="K3:K23" si="4">I3*G3</f>
        <v>5260355515.8000002</v>
      </c>
    </row>
    <row r="4" spans="1:11" x14ac:dyDescent="0.35">
      <c r="A4" s="1">
        <v>2002</v>
      </c>
      <c r="B4" s="1">
        <v>365</v>
      </c>
      <c r="C4" s="1">
        <v>438</v>
      </c>
      <c r="D4" s="2">
        <v>62674</v>
      </c>
      <c r="E4" s="1">
        <v>226</v>
      </c>
      <c r="F4" s="1">
        <f t="shared" si="0"/>
        <v>14164324</v>
      </c>
      <c r="G4" s="1">
        <f t="shared" si="1"/>
        <v>5169978260</v>
      </c>
      <c r="H4" s="4">
        <v>4.4000000000000003E-3</v>
      </c>
      <c r="I4" s="5">
        <f t="shared" si="2"/>
        <v>0.99440000000000006</v>
      </c>
      <c r="J4" s="5">
        <f t="shared" si="3"/>
        <v>62323.025600000001</v>
      </c>
      <c r="K4" s="5">
        <f t="shared" si="4"/>
        <v>5141026381.7440004</v>
      </c>
    </row>
    <row r="5" spans="1:11" x14ac:dyDescent="0.35">
      <c r="A5" s="1">
        <v>2003</v>
      </c>
      <c r="B5" s="1">
        <v>365</v>
      </c>
      <c r="C5" s="1">
        <v>441</v>
      </c>
      <c r="D5" s="2">
        <v>66310</v>
      </c>
      <c r="E5" s="1">
        <v>226</v>
      </c>
      <c r="F5" s="1">
        <f t="shared" si="0"/>
        <v>14986060</v>
      </c>
      <c r="G5" s="1">
        <f t="shared" si="1"/>
        <v>5469911900</v>
      </c>
      <c r="H5" s="4">
        <v>5.4999999999999997E-3</v>
      </c>
      <c r="I5" s="5">
        <f t="shared" si="2"/>
        <v>1.2429999999999999</v>
      </c>
      <c r="J5" s="5">
        <f t="shared" si="3"/>
        <v>82423.33</v>
      </c>
      <c r="K5" s="5">
        <f t="shared" si="4"/>
        <v>6799100491.6999998</v>
      </c>
    </row>
    <row r="6" spans="1:11" x14ac:dyDescent="0.35">
      <c r="A6" s="1">
        <v>2004</v>
      </c>
      <c r="B6" s="1">
        <v>366</v>
      </c>
      <c r="C6" s="1">
        <v>458</v>
      </c>
      <c r="D6" s="2">
        <v>70477</v>
      </c>
      <c r="E6" s="1">
        <v>222</v>
      </c>
      <c r="F6" s="1">
        <f t="shared" si="0"/>
        <v>15645894</v>
      </c>
      <c r="G6" s="1">
        <f t="shared" si="1"/>
        <v>5726397204</v>
      </c>
      <c r="H6" s="4">
        <v>5.4999999999999997E-3</v>
      </c>
      <c r="I6" s="5">
        <f t="shared" si="2"/>
        <v>1.2209999999999999</v>
      </c>
      <c r="J6" s="5">
        <f t="shared" si="3"/>
        <v>86052.417000000001</v>
      </c>
      <c r="K6" s="5">
        <f t="shared" si="4"/>
        <v>6991930986.0839996</v>
      </c>
    </row>
    <row r="7" spans="1:11" x14ac:dyDescent="0.35">
      <c r="A7" s="1">
        <v>2005</v>
      </c>
      <c r="B7" s="1">
        <v>365</v>
      </c>
      <c r="C7" s="1">
        <v>468</v>
      </c>
      <c r="D7" s="2">
        <v>74190</v>
      </c>
      <c r="E7" s="1">
        <v>220</v>
      </c>
      <c r="F7" s="1">
        <f t="shared" si="0"/>
        <v>16321800</v>
      </c>
      <c r="G7" s="1">
        <f t="shared" si="1"/>
        <v>5957457000</v>
      </c>
      <c r="H7" s="4">
        <v>5.4999999999999997E-3</v>
      </c>
      <c r="I7" s="5">
        <f t="shared" si="2"/>
        <v>1.21</v>
      </c>
      <c r="J7" s="5">
        <f t="shared" si="3"/>
        <v>89769.9</v>
      </c>
      <c r="K7" s="5">
        <f t="shared" si="4"/>
        <v>7208522970</v>
      </c>
    </row>
    <row r="8" spans="1:11" x14ac:dyDescent="0.35">
      <c r="A8" s="1">
        <v>2006</v>
      </c>
      <c r="B8" s="1">
        <v>365</v>
      </c>
      <c r="C8" s="1">
        <v>474</v>
      </c>
      <c r="D8" s="2">
        <v>76621</v>
      </c>
      <c r="E8" s="1">
        <v>208</v>
      </c>
      <c r="F8" s="1">
        <f t="shared" si="0"/>
        <v>15937168</v>
      </c>
      <c r="G8" s="1">
        <f t="shared" si="1"/>
        <v>5817066320</v>
      </c>
      <c r="H8" s="4">
        <v>6.1000000000000004E-3</v>
      </c>
      <c r="I8" s="5">
        <f t="shared" si="2"/>
        <v>1.2688000000000001</v>
      </c>
      <c r="J8" s="5">
        <f t="shared" si="3"/>
        <v>97216.724800000011</v>
      </c>
      <c r="K8" s="5">
        <f t="shared" si="4"/>
        <v>7380693746.8160009</v>
      </c>
    </row>
    <row r="9" spans="1:11" x14ac:dyDescent="0.35">
      <c r="A9" s="1">
        <v>2007</v>
      </c>
      <c r="B9" s="1">
        <v>365</v>
      </c>
      <c r="C9" s="1">
        <v>498</v>
      </c>
      <c r="D9" s="2">
        <v>80052</v>
      </c>
      <c r="E9" s="1">
        <v>209</v>
      </c>
      <c r="F9" s="1">
        <f t="shared" si="0"/>
        <v>16730868</v>
      </c>
      <c r="G9" s="1">
        <f t="shared" si="1"/>
        <v>6106766820</v>
      </c>
      <c r="H9" s="4">
        <v>6.1000000000000004E-3</v>
      </c>
      <c r="I9" s="5">
        <f t="shared" si="2"/>
        <v>1.2749000000000001</v>
      </c>
      <c r="J9" s="5">
        <f t="shared" si="3"/>
        <v>102058.2948</v>
      </c>
      <c r="K9" s="5">
        <f t="shared" si="4"/>
        <v>7785517018.8180008</v>
      </c>
    </row>
    <row r="10" spans="1:11" x14ac:dyDescent="0.35">
      <c r="A10" s="1">
        <v>2008</v>
      </c>
      <c r="B10" s="1">
        <v>366</v>
      </c>
      <c r="C10" s="1">
        <v>514</v>
      </c>
      <c r="D10" s="2">
        <v>83150</v>
      </c>
      <c r="E10" s="1">
        <v>203</v>
      </c>
      <c r="F10" s="1">
        <f t="shared" si="0"/>
        <v>16879450</v>
      </c>
      <c r="G10" s="1">
        <f t="shared" si="1"/>
        <v>6177878700</v>
      </c>
      <c r="H10" s="4">
        <v>6.1000000000000004E-3</v>
      </c>
      <c r="I10" s="5">
        <f t="shared" si="2"/>
        <v>1.2383000000000002</v>
      </c>
      <c r="J10" s="5">
        <f t="shared" si="3"/>
        <v>102964.645</v>
      </c>
      <c r="K10" s="5">
        <f t="shared" si="4"/>
        <v>7650067194.210001</v>
      </c>
    </row>
    <row r="11" spans="1:11" x14ac:dyDescent="0.35">
      <c r="A11" s="1">
        <v>2009</v>
      </c>
      <c r="B11" s="1">
        <v>365</v>
      </c>
      <c r="C11" s="1">
        <v>510</v>
      </c>
      <c r="D11" s="2">
        <v>81985</v>
      </c>
      <c r="E11" s="1">
        <v>198</v>
      </c>
      <c r="F11" s="1">
        <f t="shared" si="0"/>
        <v>16233030</v>
      </c>
      <c r="G11" s="1">
        <f t="shared" si="1"/>
        <v>5925055950</v>
      </c>
      <c r="H11" s="4">
        <v>7.3000000000000001E-3</v>
      </c>
      <c r="I11" s="5">
        <f t="shared" si="2"/>
        <v>1.4454</v>
      </c>
      <c r="J11" s="5">
        <f t="shared" si="3"/>
        <v>118501.11900000001</v>
      </c>
      <c r="K11" s="5">
        <f t="shared" si="4"/>
        <v>8564075870.1300001</v>
      </c>
    </row>
    <row r="12" spans="1:11" x14ac:dyDescent="0.35">
      <c r="A12" s="1">
        <v>2010</v>
      </c>
      <c r="B12" s="1">
        <v>365</v>
      </c>
      <c r="C12" s="1">
        <v>551</v>
      </c>
      <c r="D12" s="2">
        <v>87246</v>
      </c>
      <c r="E12" s="1">
        <v>193</v>
      </c>
      <c r="F12" s="1">
        <f t="shared" si="0"/>
        <v>16838478</v>
      </c>
      <c r="G12" s="1">
        <f t="shared" si="1"/>
        <v>6146044470</v>
      </c>
      <c r="H12" s="4">
        <v>7.3000000000000001E-3</v>
      </c>
      <c r="I12" s="5">
        <f t="shared" si="2"/>
        <v>1.4089</v>
      </c>
      <c r="J12" s="5">
        <f t="shared" si="3"/>
        <v>122920.8894</v>
      </c>
      <c r="K12" s="5">
        <f t="shared" si="4"/>
        <v>8659162053.7830009</v>
      </c>
    </row>
    <row r="13" spans="1:11" x14ac:dyDescent="0.35">
      <c r="A13" s="1">
        <v>2011</v>
      </c>
      <c r="B13" s="1">
        <v>365</v>
      </c>
      <c r="C13" s="1">
        <v>586</v>
      </c>
      <c r="D13" s="2">
        <v>90489</v>
      </c>
      <c r="E13" s="1">
        <v>185</v>
      </c>
      <c r="F13" s="1">
        <f t="shared" si="0"/>
        <v>16740465</v>
      </c>
      <c r="G13" s="1">
        <f t="shared" si="1"/>
        <v>6110269725</v>
      </c>
      <c r="H13" s="4">
        <v>7.3000000000000001E-3</v>
      </c>
      <c r="I13" s="5">
        <f t="shared" si="2"/>
        <v>1.3505</v>
      </c>
      <c r="J13" s="5">
        <f t="shared" si="3"/>
        <v>122205.39449999999</v>
      </c>
      <c r="K13" s="5">
        <f t="shared" si="4"/>
        <v>8251919263.6125002</v>
      </c>
    </row>
    <row r="14" spans="1:11" x14ac:dyDescent="0.35">
      <c r="A14" s="1">
        <v>2012</v>
      </c>
      <c r="B14" s="1">
        <v>366</v>
      </c>
      <c r="C14" s="1">
        <v>603</v>
      </c>
      <c r="D14" s="2">
        <v>93354</v>
      </c>
      <c r="E14" s="1">
        <v>183</v>
      </c>
      <c r="F14" s="1">
        <f t="shared" si="0"/>
        <v>17083782</v>
      </c>
      <c r="G14" s="1">
        <f t="shared" si="1"/>
        <v>6252664212</v>
      </c>
      <c r="H14" s="4">
        <v>8.0999999999999996E-3</v>
      </c>
      <c r="I14" s="5">
        <f t="shared" si="2"/>
        <v>1.4823</v>
      </c>
      <c r="J14" s="5">
        <f t="shared" si="3"/>
        <v>138378.6342</v>
      </c>
      <c r="K14" s="5">
        <f t="shared" si="4"/>
        <v>9268324161.4475994</v>
      </c>
    </row>
    <row r="15" spans="1:11" x14ac:dyDescent="0.35">
      <c r="A15" s="1">
        <v>2013</v>
      </c>
      <c r="B15" s="1">
        <v>365</v>
      </c>
      <c r="C15" s="1">
        <v>618</v>
      </c>
      <c r="D15" s="2">
        <v>95903</v>
      </c>
      <c r="E15" s="1">
        <v>174</v>
      </c>
      <c r="F15" s="1">
        <f t="shared" si="0"/>
        <v>16687122</v>
      </c>
      <c r="G15" s="1">
        <f t="shared" si="1"/>
        <v>6090799530</v>
      </c>
      <c r="H15" s="4">
        <v>8.0999999999999996E-3</v>
      </c>
      <c r="I15" s="5">
        <f t="shared" si="2"/>
        <v>1.4094</v>
      </c>
      <c r="J15" s="5">
        <f t="shared" si="3"/>
        <v>135165.6882</v>
      </c>
      <c r="K15" s="5">
        <f t="shared" si="4"/>
        <v>8584372857.5819998</v>
      </c>
    </row>
    <row r="16" spans="1:11" x14ac:dyDescent="0.35">
      <c r="A16" s="1">
        <v>2014</v>
      </c>
      <c r="B16" s="1">
        <v>365</v>
      </c>
      <c r="C16" s="1">
        <v>635</v>
      </c>
      <c r="D16" s="2">
        <v>98169</v>
      </c>
      <c r="E16" s="1">
        <v>163</v>
      </c>
      <c r="F16" s="1">
        <f t="shared" si="0"/>
        <v>16001547</v>
      </c>
      <c r="G16" s="1">
        <f t="shared" si="1"/>
        <v>5840564655</v>
      </c>
      <c r="H16" s="4">
        <v>8.0999999999999996E-3</v>
      </c>
      <c r="I16" s="5">
        <f t="shared" si="2"/>
        <v>1.3203</v>
      </c>
      <c r="J16" s="5">
        <f t="shared" si="3"/>
        <v>129612.53069999999</v>
      </c>
      <c r="K16" s="5">
        <f t="shared" si="4"/>
        <v>7711297513.9965</v>
      </c>
    </row>
    <row r="17" spans="1:11" x14ac:dyDescent="0.35">
      <c r="A17" s="1">
        <v>2015</v>
      </c>
      <c r="B17" s="1">
        <v>365</v>
      </c>
      <c r="C17" s="1">
        <v>672</v>
      </c>
      <c r="D17" s="2">
        <v>104578</v>
      </c>
      <c r="E17" s="1">
        <v>152</v>
      </c>
      <c r="F17" s="1">
        <f t="shared" si="0"/>
        <v>15895856</v>
      </c>
      <c r="G17" s="1">
        <f t="shared" si="1"/>
        <v>5801987440</v>
      </c>
      <c r="H17" s="4">
        <v>8.8000000000000005E-3</v>
      </c>
      <c r="I17" s="5">
        <f t="shared" si="2"/>
        <v>1.3376000000000001</v>
      </c>
      <c r="J17" s="5">
        <f t="shared" si="3"/>
        <v>139883.53280000002</v>
      </c>
      <c r="K17" s="5">
        <f t="shared" si="4"/>
        <v>7760738399.7440004</v>
      </c>
    </row>
    <row r="18" spans="1:11" x14ac:dyDescent="0.35">
      <c r="A18" s="1">
        <v>2016</v>
      </c>
      <c r="B18" s="1">
        <v>366</v>
      </c>
      <c r="C18" s="1">
        <v>685</v>
      </c>
      <c r="D18" s="2">
        <v>106535</v>
      </c>
      <c r="E18" s="1">
        <v>141</v>
      </c>
      <c r="F18" s="1">
        <f t="shared" si="0"/>
        <v>15021435</v>
      </c>
      <c r="G18" s="1">
        <f t="shared" si="1"/>
        <v>5497845210</v>
      </c>
      <c r="H18" s="4">
        <v>8.8000000000000005E-3</v>
      </c>
      <c r="I18" s="5">
        <f t="shared" si="2"/>
        <v>1.2408000000000001</v>
      </c>
      <c r="J18" s="5">
        <f t="shared" si="3"/>
        <v>132188.628</v>
      </c>
      <c r="K18" s="5">
        <f t="shared" si="4"/>
        <v>6821726336.5680008</v>
      </c>
    </row>
    <row r="19" spans="1:11" x14ac:dyDescent="0.35">
      <c r="A19" s="1">
        <v>2017</v>
      </c>
      <c r="B19" s="1">
        <v>365</v>
      </c>
      <c r="C19" s="1">
        <v>696</v>
      </c>
      <c r="D19" s="2">
        <v>108902</v>
      </c>
      <c r="E19" s="1">
        <v>134</v>
      </c>
      <c r="F19" s="1">
        <f t="shared" si="0"/>
        <v>14592868</v>
      </c>
      <c r="G19" s="1">
        <f t="shared" si="1"/>
        <v>5326396820</v>
      </c>
      <c r="H19" s="4">
        <v>8.8000000000000005E-3</v>
      </c>
      <c r="I19" s="5">
        <f t="shared" si="2"/>
        <v>1.1792</v>
      </c>
      <c r="J19" s="5">
        <f t="shared" si="3"/>
        <v>128417.2384</v>
      </c>
      <c r="K19" s="5">
        <f t="shared" si="4"/>
        <v>6280887130.1440001</v>
      </c>
    </row>
    <row r="20" spans="1:11" x14ac:dyDescent="0.35">
      <c r="A20" s="1">
        <v>2018</v>
      </c>
      <c r="B20" s="1">
        <v>365</v>
      </c>
      <c r="C20" s="1">
        <v>697</v>
      </c>
      <c r="D20" s="2">
        <v>110738</v>
      </c>
      <c r="E20" s="1">
        <v>125</v>
      </c>
      <c r="F20" s="1">
        <f t="shared" si="0"/>
        <v>13842250</v>
      </c>
      <c r="G20" s="1">
        <f t="shared" si="1"/>
        <v>5052421250</v>
      </c>
      <c r="H20" s="4">
        <v>9.7000000000000003E-3</v>
      </c>
      <c r="I20" s="5">
        <f t="shared" si="2"/>
        <v>1.2125000000000001</v>
      </c>
      <c r="J20" s="5">
        <f t="shared" si="3"/>
        <v>134269.82500000001</v>
      </c>
      <c r="K20" s="5">
        <f t="shared" si="4"/>
        <v>6126060765.625001</v>
      </c>
    </row>
    <row r="21" spans="1:11" x14ac:dyDescent="0.35">
      <c r="A21" s="1">
        <v>2019</v>
      </c>
      <c r="B21" s="1">
        <v>365</v>
      </c>
      <c r="C21" s="1">
        <v>705</v>
      </c>
      <c r="D21" s="2">
        <v>120691</v>
      </c>
      <c r="E21" s="1">
        <v>120</v>
      </c>
      <c r="F21" s="1">
        <f t="shared" si="0"/>
        <v>14482920</v>
      </c>
      <c r="G21" s="1">
        <f t="shared" si="1"/>
        <v>5286265800</v>
      </c>
      <c r="H21" s="4">
        <v>9.7000000000000003E-3</v>
      </c>
      <c r="I21" s="5">
        <f t="shared" si="2"/>
        <v>1.1640000000000001</v>
      </c>
      <c r="J21" s="5">
        <f t="shared" si="3"/>
        <v>140484.32399999999</v>
      </c>
      <c r="K21" s="5">
        <f t="shared" si="4"/>
        <v>6153213391.2000008</v>
      </c>
    </row>
    <row r="22" spans="1:11" x14ac:dyDescent="0.35">
      <c r="A22" s="1">
        <v>2020</v>
      </c>
      <c r="B22" s="1">
        <v>366</v>
      </c>
      <c r="C22" s="1">
        <v>693</v>
      </c>
      <c r="D22" s="2">
        <v>96986</v>
      </c>
      <c r="E22" s="1">
        <v>110</v>
      </c>
      <c r="F22" s="1">
        <f t="shared" si="0"/>
        <v>10668460</v>
      </c>
      <c r="G22" s="1">
        <f t="shared" si="1"/>
        <v>3904656360</v>
      </c>
      <c r="H22" s="4">
        <v>9.7000000000000003E-3</v>
      </c>
      <c r="I22" s="5">
        <f t="shared" si="2"/>
        <v>1.0669999999999999</v>
      </c>
      <c r="J22" s="5">
        <f t="shared" si="3"/>
        <v>103484.06200000001</v>
      </c>
      <c r="K22" s="5">
        <f t="shared" si="4"/>
        <v>4166268336.1199999</v>
      </c>
    </row>
    <row r="23" spans="1:11" x14ac:dyDescent="0.35">
      <c r="A23" s="1">
        <v>2021</v>
      </c>
      <c r="B23" s="1">
        <v>365</v>
      </c>
      <c r="C23" s="1">
        <v>701</v>
      </c>
      <c r="D23" s="2">
        <v>102239</v>
      </c>
      <c r="E23" s="1">
        <v>102</v>
      </c>
      <c r="F23" s="1">
        <f t="shared" si="0"/>
        <v>10428378</v>
      </c>
      <c r="G23" s="1">
        <f t="shared" si="1"/>
        <v>3806357970</v>
      </c>
      <c r="H23" s="4">
        <v>9.7000000000000003E-3</v>
      </c>
      <c r="I23" s="5">
        <f t="shared" si="2"/>
        <v>0.98940000000000006</v>
      </c>
      <c r="J23" s="5">
        <f t="shared" si="3"/>
        <v>101155.2666</v>
      </c>
      <c r="K23" s="5">
        <f t="shared" si="4"/>
        <v>3766010575.5180001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zoomScale="94" workbookViewId="0">
      <selection activeCell="B2" sqref="B2:M11"/>
    </sheetView>
  </sheetViews>
  <sheetFormatPr defaultColWidth="12.1796875" defaultRowHeight="14.5" x14ac:dyDescent="0.35"/>
  <cols>
    <col min="1" max="1" width="5.08984375" style="1" bestFit="1" customWidth="1"/>
    <col min="2" max="2" width="15.08984375" style="6" customWidth="1"/>
    <col min="3" max="3" width="16.6328125" style="6" customWidth="1"/>
    <col min="4" max="4" width="11.54296875" style="6" bestFit="1" customWidth="1"/>
    <col min="5" max="5" width="12.90625" style="6" bestFit="1" customWidth="1"/>
    <col min="6" max="6" width="12.54296875" style="6" bestFit="1" customWidth="1"/>
    <col min="7" max="7" width="17.36328125" style="6" bestFit="1" customWidth="1"/>
    <col min="8" max="8" width="17.81640625" style="6" bestFit="1" customWidth="1"/>
    <col min="9" max="9" width="15.26953125" style="6" bestFit="1" customWidth="1"/>
    <col min="10" max="10" width="11.54296875" style="6" bestFit="1" customWidth="1"/>
    <col min="11" max="11" width="12.90625" style="6" bestFit="1" customWidth="1"/>
    <col min="12" max="12" width="12.54296875" style="6" bestFit="1" customWidth="1"/>
    <col min="13" max="13" width="14" style="6" bestFit="1" customWidth="1"/>
    <col min="14" max="16384" width="12.1796875" style="1"/>
  </cols>
  <sheetData>
    <row r="1" spans="1:13" x14ac:dyDescent="0.35">
      <c r="A1" s="1" t="s">
        <v>0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</row>
    <row r="2" spans="1:13" x14ac:dyDescent="0.35">
      <c r="A2" s="1">
        <v>2000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</row>
    <row r="3" spans="1:13" x14ac:dyDescent="0.35">
      <c r="A3" s="1">
        <v>2001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</row>
    <row r="4" spans="1:13" x14ac:dyDescent="0.35">
      <c r="A4" s="1">
        <v>2002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  <row r="5" spans="1:13" x14ac:dyDescent="0.35">
      <c r="A5" s="1">
        <v>2003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x14ac:dyDescent="0.35">
      <c r="A6" s="1">
        <v>2004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 x14ac:dyDescent="0.35">
      <c r="A7" s="1">
        <v>2005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x14ac:dyDescent="0.35">
      <c r="A8" s="1">
        <v>2006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x14ac:dyDescent="0.35">
      <c r="A9" s="1">
        <v>2007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 x14ac:dyDescent="0.35">
      <c r="A10" s="1">
        <v>2008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 x14ac:dyDescent="0.35">
      <c r="A11" s="1">
        <v>2009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 x14ac:dyDescent="0.35">
      <c r="A12" s="1">
        <v>2010</v>
      </c>
      <c r="B12" s="6">
        <v>87112600</v>
      </c>
      <c r="C12" s="6">
        <v>5614068999.9999981</v>
      </c>
      <c r="D12" s="6">
        <v>5000000</v>
      </c>
      <c r="E12" s="6">
        <v>80970000</v>
      </c>
      <c r="F12" s="6">
        <v>40896100.000000007</v>
      </c>
      <c r="G12" s="6">
        <v>643216200.00000024</v>
      </c>
      <c r="H12" s="6">
        <v>4274742300.0000052</v>
      </c>
      <c r="I12" s="6">
        <v>129946500</v>
      </c>
      <c r="J12" s="6">
        <v>839994600</v>
      </c>
      <c r="K12" s="6">
        <v>400000</v>
      </c>
      <c r="L12" s="6">
        <v>75631099.999999985</v>
      </c>
      <c r="M12" s="6">
        <v>3980900</v>
      </c>
    </row>
    <row r="13" spans="1:13" x14ac:dyDescent="0.35">
      <c r="A13" s="1">
        <v>2011</v>
      </c>
      <c r="B13" s="6">
        <v>63500900</v>
      </c>
      <c r="C13" s="6">
        <v>2497647100</v>
      </c>
      <c r="D13" s="6">
        <v>5264800</v>
      </c>
      <c r="E13" s="6">
        <v>53212000</v>
      </c>
      <c r="F13" s="6">
        <v>1715033100</v>
      </c>
      <c r="G13" s="6">
        <v>1015067100</v>
      </c>
      <c r="H13" s="6">
        <v>66382298300.000038</v>
      </c>
      <c r="I13" s="6">
        <v>11160000</v>
      </c>
      <c r="J13" s="6">
        <v>233611100</v>
      </c>
      <c r="K13" s="6">
        <v>451000</v>
      </c>
      <c r="L13" s="6">
        <v>29498300</v>
      </c>
      <c r="M13" s="6">
        <v>16635000</v>
      </c>
    </row>
    <row r="14" spans="1:13" x14ac:dyDescent="0.35">
      <c r="A14" s="1">
        <v>2012</v>
      </c>
      <c r="B14" s="6">
        <v>395266599.99999994</v>
      </c>
      <c r="C14" s="6">
        <v>17749286400.000011</v>
      </c>
      <c r="D14" s="6">
        <v>2461462500.0000005</v>
      </c>
      <c r="E14" s="6">
        <v>244170499.99999994</v>
      </c>
      <c r="F14" s="6">
        <v>10017183900.000004</v>
      </c>
      <c r="G14" s="7">
        <v>1189142300.0000002</v>
      </c>
      <c r="H14" s="7">
        <v>147510579399.99997</v>
      </c>
      <c r="I14" s="6">
        <v>480597800.00000024</v>
      </c>
      <c r="J14" s="6">
        <v>867988600.00000036</v>
      </c>
      <c r="K14" s="6">
        <v>112550799.99999999</v>
      </c>
      <c r="L14" s="6">
        <v>244050800.00000003</v>
      </c>
      <c r="M14" s="6">
        <v>237040400</v>
      </c>
    </row>
    <row r="15" spans="1:13" x14ac:dyDescent="0.35">
      <c r="A15" s="1">
        <v>2013</v>
      </c>
      <c r="B15" s="6">
        <v>28834199.999999996</v>
      </c>
      <c r="C15" s="6">
        <v>4803021610.0629997</v>
      </c>
      <c r="D15" s="6">
        <v>173647600</v>
      </c>
      <c r="E15" s="6">
        <v>1566133600</v>
      </c>
      <c r="F15" s="6">
        <v>4873749699.9999981</v>
      </c>
      <c r="G15" s="7">
        <v>1113900499.9999998</v>
      </c>
      <c r="H15" s="7">
        <v>30881518398.820004</v>
      </c>
      <c r="I15" s="6">
        <v>256008299.99999997</v>
      </c>
      <c r="J15" s="6">
        <v>351603600.00000006</v>
      </c>
      <c r="K15" s="6">
        <v>114400000</v>
      </c>
      <c r="L15" s="6">
        <v>80765300.000000015</v>
      </c>
      <c r="M15" s="6">
        <v>15140500</v>
      </c>
    </row>
    <row r="16" spans="1:13" x14ac:dyDescent="0.35">
      <c r="A16" s="1">
        <v>2014</v>
      </c>
      <c r="B16" s="6">
        <v>126633099.99999997</v>
      </c>
      <c r="C16" s="6">
        <v>11355496999.999994</v>
      </c>
      <c r="D16" s="6">
        <v>122761200</v>
      </c>
      <c r="E16" s="6">
        <v>358365800.00000006</v>
      </c>
      <c r="F16" s="6">
        <v>12542674099.999998</v>
      </c>
      <c r="G16" s="7">
        <v>77252518900</v>
      </c>
      <c r="H16" s="7">
        <v>57059488799.999901</v>
      </c>
      <c r="I16" s="6">
        <v>325258400</v>
      </c>
      <c r="J16" s="6">
        <v>2814800599.9999995</v>
      </c>
      <c r="K16" s="6">
        <v>27634999.999999996</v>
      </c>
      <c r="L16" s="6">
        <v>792122500</v>
      </c>
      <c r="M16" s="6">
        <v>31367699.999999993</v>
      </c>
    </row>
    <row r="17" spans="1:13" x14ac:dyDescent="0.35">
      <c r="A17" s="1">
        <v>2015</v>
      </c>
      <c r="B17" s="6">
        <v>291133000.00000006</v>
      </c>
      <c r="C17" s="6">
        <v>12637275900.000008</v>
      </c>
      <c r="D17" s="6">
        <v>1858277000.0000007</v>
      </c>
      <c r="E17" s="6">
        <v>486239100.00000006</v>
      </c>
      <c r="F17" s="6">
        <v>16180763100</v>
      </c>
      <c r="G17" s="7">
        <v>88019028300.000031</v>
      </c>
      <c r="H17" s="7">
        <v>76983789099.999832</v>
      </c>
      <c r="I17" s="6">
        <v>1002377000</v>
      </c>
      <c r="J17" s="6">
        <v>6007715200</v>
      </c>
      <c r="K17" s="6">
        <v>148530800.00000003</v>
      </c>
      <c r="L17" s="6">
        <v>10769691799.999998</v>
      </c>
      <c r="M17" s="6">
        <v>181839600</v>
      </c>
    </row>
    <row r="18" spans="1:13" x14ac:dyDescent="0.35">
      <c r="A18" s="1">
        <v>2016</v>
      </c>
      <c r="B18" s="6">
        <v>190020100</v>
      </c>
      <c r="C18" s="6">
        <v>13324511200.000027</v>
      </c>
      <c r="D18" s="6">
        <v>633383799.99999988</v>
      </c>
      <c r="E18" s="6">
        <v>397581399.99999988</v>
      </c>
      <c r="F18" s="6">
        <v>11208350199.999998</v>
      </c>
      <c r="G18" s="7">
        <v>16093387399.999992</v>
      </c>
      <c r="H18" s="7">
        <v>91914042999.999939</v>
      </c>
      <c r="I18" s="6">
        <v>571749700.00000012</v>
      </c>
      <c r="J18" s="6">
        <v>5468152200.000001</v>
      </c>
      <c r="K18" s="6">
        <v>150749100</v>
      </c>
      <c r="L18" s="6">
        <v>4808467499.999999</v>
      </c>
      <c r="M18" s="6">
        <v>285056000</v>
      </c>
    </row>
    <row r="19" spans="1:13" x14ac:dyDescent="0.35">
      <c r="A19" s="1">
        <v>2017</v>
      </c>
      <c r="B19" s="6">
        <v>180118300</v>
      </c>
      <c r="C19" s="6">
        <v>13343964399.999992</v>
      </c>
      <c r="D19" s="6">
        <v>914712999.99999976</v>
      </c>
      <c r="E19" s="6">
        <v>2350855300.0000014</v>
      </c>
      <c r="F19" s="6">
        <v>5539060400</v>
      </c>
      <c r="G19" s="7">
        <v>8191674500</v>
      </c>
      <c r="H19" s="7">
        <v>87926230099.999466</v>
      </c>
      <c r="I19" s="6">
        <v>711796899.99999976</v>
      </c>
      <c r="J19" s="6">
        <v>5417422899.9999971</v>
      </c>
      <c r="K19" s="6">
        <v>166309199.99999997</v>
      </c>
      <c r="L19" s="6">
        <v>4414512700.0000019</v>
      </c>
      <c r="M19" s="6">
        <v>158461300.00000003</v>
      </c>
    </row>
    <row r="20" spans="1:13" x14ac:dyDescent="0.35">
      <c r="A20" s="1">
        <v>2018</v>
      </c>
      <c r="B20" s="6">
        <v>234418599.99999997</v>
      </c>
      <c r="C20" s="6">
        <v>11305892000.000019</v>
      </c>
      <c r="D20" s="6">
        <v>728925200.00000024</v>
      </c>
      <c r="E20" s="6">
        <v>2333452500.0000005</v>
      </c>
      <c r="F20" s="6">
        <v>4132873900.000001</v>
      </c>
      <c r="G20" s="7">
        <v>11752394600.00001</v>
      </c>
      <c r="H20" s="7">
        <v>73206361400.000153</v>
      </c>
      <c r="I20" s="6">
        <v>1351020100</v>
      </c>
      <c r="J20" s="6">
        <v>5557220800.0000038</v>
      </c>
      <c r="K20" s="6">
        <v>273030499.99999988</v>
      </c>
      <c r="L20" s="6">
        <v>3709827899.9999981</v>
      </c>
      <c r="M20" s="6">
        <v>171220500</v>
      </c>
    </row>
    <row r="21" spans="1:13" x14ac:dyDescent="0.35">
      <c r="A21" s="1">
        <v>2019</v>
      </c>
      <c r="B21" s="6">
        <v>323653699.99999988</v>
      </c>
      <c r="C21" s="6">
        <v>49028733700.000122</v>
      </c>
      <c r="D21" s="6">
        <v>3966680800.000001</v>
      </c>
      <c r="E21" s="6">
        <v>10660149999.999996</v>
      </c>
      <c r="F21" s="6">
        <v>9636570300</v>
      </c>
      <c r="G21" s="7">
        <v>2477790243099.9985</v>
      </c>
      <c r="H21" s="7">
        <v>111684888099.99998</v>
      </c>
      <c r="I21" s="6">
        <v>1054633100.0000004</v>
      </c>
      <c r="J21" s="6">
        <v>365399899.99999994</v>
      </c>
      <c r="K21" s="6">
        <v>16761342099.999998</v>
      </c>
      <c r="L21" s="6">
        <v>7254725700.0000048</v>
      </c>
      <c r="M21" s="6">
        <v>67483431200.000015</v>
      </c>
    </row>
    <row r="22" spans="1:13" x14ac:dyDescent="0.35">
      <c r="A22" s="1">
        <v>2020</v>
      </c>
      <c r="B22" s="6">
        <v>266621500</v>
      </c>
      <c r="C22" s="6">
        <v>35883189199.999825</v>
      </c>
      <c r="D22" s="6">
        <v>1175139299.9999998</v>
      </c>
      <c r="E22" s="6">
        <v>7281214399.9999943</v>
      </c>
      <c r="F22" s="6">
        <v>2137794299.9999998</v>
      </c>
      <c r="G22" s="6">
        <v>9777783500</v>
      </c>
      <c r="H22" s="6">
        <v>88292018000.00061</v>
      </c>
      <c r="I22" s="6">
        <v>962145900.00000024</v>
      </c>
      <c r="J22" s="6">
        <v>473002400</v>
      </c>
      <c r="K22" s="6">
        <v>996649600.00000024</v>
      </c>
      <c r="L22" s="6">
        <v>672249100.00000012</v>
      </c>
      <c r="M22" s="6">
        <v>1068744100.0000004</v>
      </c>
    </row>
    <row r="23" spans="1:13" x14ac:dyDescent="0.35">
      <c r="A23" s="1">
        <v>2021</v>
      </c>
      <c r="B23" s="6">
        <v>328969300</v>
      </c>
      <c r="C23" s="6">
        <v>9340522599.9999886</v>
      </c>
      <c r="D23" s="6">
        <v>805968000</v>
      </c>
      <c r="E23" s="6">
        <v>1542971800.0000012</v>
      </c>
      <c r="F23" s="6">
        <v>3084108900</v>
      </c>
      <c r="G23" s="6">
        <v>10478813500.000002</v>
      </c>
      <c r="H23" s="6">
        <v>92059050500</v>
      </c>
      <c r="I23" s="6">
        <v>769732400</v>
      </c>
      <c r="J23" s="6">
        <v>592681600</v>
      </c>
      <c r="K23" s="6">
        <v>2001723099.999999</v>
      </c>
      <c r="L23" s="6">
        <v>3697668400.000001</v>
      </c>
      <c r="M23" s="6">
        <v>1780408599.999999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Peoples</vt:lpstr>
      <vt:lpstr>Hotel</vt:lpstr>
      <vt:lpstr>Property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Sartaj Babra</cp:lastModifiedBy>
  <dcterms:created xsi:type="dcterms:W3CDTF">2023-04-01T12:47:17Z</dcterms:created>
  <dcterms:modified xsi:type="dcterms:W3CDTF">2023-04-12T18:57:08Z</dcterms:modified>
</cp:coreProperties>
</file>